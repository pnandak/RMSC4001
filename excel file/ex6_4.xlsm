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75" windowWidth="19395" windowHeight="784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6" i="1" l="1"/>
  <c r="B6" i="1"/>
  <c r="I3" i="1" l="1"/>
  <c r="I4" i="1"/>
  <c r="I5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8" i="1"/>
  <c r="I12" i="1"/>
  <c r="I16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2" i="1"/>
  <c r="H2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63" i="1"/>
  <c r="H67" i="1"/>
  <c r="H75" i="1"/>
  <c r="H91" i="1"/>
  <c r="H107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83" i="1"/>
  <c r="H103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79" i="1"/>
  <c r="H95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59" i="1"/>
  <c r="H71" i="1"/>
  <c r="H87" i="1"/>
  <c r="H99" i="1"/>
  <c r="G3" i="1"/>
  <c r="G19" i="1"/>
  <c r="G27" i="1"/>
  <c r="G39" i="1"/>
  <c r="G47" i="1"/>
  <c r="G55" i="1"/>
  <c r="G63" i="1"/>
  <c r="G75" i="1"/>
  <c r="G83" i="1"/>
  <c r="G91" i="1"/>
  <c r="G103" i="1"/>
  <c r="G4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9" i="1"/>
  <c r="G13" i="1"/>
  <c r="G21" i="1"/>
  <c r="G25" i="1"/>
  <c r="G33" i="1"/>
  <c r="G41" i="1"/>
  <c r="G49" i="1"/>
  <c r="G57" i="1"/>
  <c r="G65" i="1"/>
  <c r="G73" i="1"/>
  <c r="G81" i="1"/>
  <c r="G85" i="1"/>
  <c r="G93" i="1"/>
  <c r="G101" i="1"/>
  <c r="G5" i="1"/>
  <c r="G17" i="1"/>
  <c r="G29" i="1"/>
  <c r="G37" i="1"/>
  <c r="G45" i="1"/>
  <c r="G53" i="1"/>
  <c r="G61" i="1"/>
  <c r="G69" i="1"/>
  <c r="G77" i="1"/>
  <c r="G89" i="1"/>
  <c r="G97" i="1"/>
  <c r="G105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7" i="1"/>
  <c r="G11" i="1"/>
  <c r="G15" i="1"/>
  <c r="G23" i="1"/>
  <c r="G31" i="1"/>
  <c r="G35" i="1"/>
  <c r="G43" i="1"/>
  <c r="G51" i="1"/>
  <c r="G59" i="1"/>
  <c r="G67" i="1"/>
  <c r="G71" i="1"/>
  <c r="G79" i="1"/>
  <c r="G87" i="1"/>
  <c r="G95" i="1"/>
  <c r="G99" i="1"/>
  <c r="G107" i="1"/>
  <c r="G2" i="1"/>
  <c r="F3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4" i="1"/>
  <c r="F8" i="1"/>
  <c r="F12" i="1"/>
  <c r="F16" i="1"/>
  <c r="F20" i="1"/>
  <c r="F24" i="1"/>
  <c r="F28" i="1"/>
  <c r="F32" i="1"/>
  <c r="F36" i="1"/>
  <c r="F40" i="1"/>
  <c r="F44" i="1"/>
  <c r="F48" i="1"/>
  <c r="F52" i="1"/>
  <c r="F56" i="1"/>
  <c r="F60" i="1"/>
  <c r="F64" i="1"/>
  <c r="F68" i="1"/>
  <c r="F72" i="1"/>
  <c r="F76" i="1"/>
  <c r="F80" i="1"/>
  <c r="F84" i="1"/>
  <c r="F88" i="1"/>
  <c r="F92" i="1"/>
  <c r="F96" i="1"/>
  <c r="F100" i="1"/>
  <c r="F104" i="1"/>
  <c r="F13" i="1"/>
  <c r="F21" i="1"/>
  <c r="F29" i="1"/>
  <c r="F37" i="1"/>
  <c r="F45" i="1"/>
  <c r="F53" i="1"/>
  <c r="F61" i="1"/>
  <c r="F69" i="1"/>
  <c r="F77" i="1"/>
  <c r="F85" i="1"/>
  <c r="F93" i="1"/>
  <c r="F101" i="1"/>
  <c r="F5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" i="1"/>
  <c r="F19" i="1"/>
  <c r="F27" i="1"/>
  <c r="F35" i="1"/>
  <c r="F43" i="1"/>
  <c r="F51" i="1"/>
  <c r="F59" i="1"/>
  <c r="F67" i="1"/>
  <c r="F75" i="1"/>
  <c r="F83" i="1"/>
  <c r="F91" i="1"/>
  <c r="F99" i="1"/>
  <c r="F107" i="1"/>
  <c r="F2" i="1"/>
  <c r="E4" i="1"/>
  <c r="E16" i="1"/>
  <c r="E28" i="1"/>
  <c r="E36" i="1"/>
  <c r="E44" i="1"/>
  <c r="E52" i="1"/>
  <c r="E64" i="1"/>
  <c r="E72" i="1"/>
  <c r="E80" i="1"/>
  <c r="E88" i="1"/>
  <c r="E96" i="1"/>
  <c r="E104" i="1"/>
  <c r="E74" i="1"/>
  <c r="E90" i="1"/>
  <c r="E106" i="1"/>
  <c r="E5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70" i="1"/>
  <c r="E82" i="1"/>
  <c r="E98" i="1"/>
  <c r="E6" i="1"/>
  <c r="E94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8" i="1"/>
  <c r="E12" i="1"/>
  <c r="E20" i="1"/>
  <c r="E24" i="1"/>
  <c r="E32" i="1"/>
  <c r="E40" i="1"/>
  <c r="E48" i="1"/>
  <c r="E56" i="1"/>
  <c r="E60" i="1"/>
  <c r="E68" i="1"/>
  <c r="E76" i="1"/>
  <c r="E84" i="1"/>
  <c r="E92" i="1"/>
  <c r="E100" i="1"/>
  <c r="E66" i="1"/>
  <c r="E78" i="1"/>
  <c r="E86" i="1"/>
  <c r="E102" i="1"/>
  <c r="E2" i="1"/>
  <c r="E3" i="1"/>
  <c r="B5" i="1" l="1"/>
  <c r="D5" i="1"/>
  <c r="B4" i="1"/>
  <c r="D4" i="1"/>
  <c r="D2" i="1"/>
  <c r="D3" i="1"/>
  <c r="B2" i="1"/>
  <c r="B3" i="1"/>
</calcChain>
</file>

<file path=xl/sharedStrings.xml><?xml version="1.0" encoding="utf-8"?>
<sst xmlns="http://schemas.openxmlformats.org/spreadsheetml/2006/main" count="18" uniqueCount="15">
  <si>
    <t>a)standard method</t>
    <phoneticPr fontId="1" type="noConversion"/>
  </si>
  <si>
    <t>antithetic method</t>
    <phoneticPr fontId="1" type="noConversion"/>
  </si>
  <si>
    <t>variance</t>
    <phoneticPr fontId="1" type="noConversion"/>
  </si>
  <si>
    <t>a</t>
    <phoneticPr fontId="1" type="noConversion"/>
  </si>
  <si>
    <t>b</t>
    <phoneticPr fontId="1" type="noConversion"/>
  </si>
  <si>
    <t>mean</t>
    <phoneticPr fontId="1" type="noConversion"/>
  </si>
  <si>
    <t>a</t>
    <phoneticPr fontId="1" type="noConversion"/>
  </si>
  <si>
    <t>b</t>
    <phoneticPr fontId="1" type="noConversion"/>
  </si>
  <si>
    <t>stratification</t>
    <phoneticPr fontId="1" type="noConversion"/>
  </si>
  <si>
    <t>c</t>
    <phoneticPr fontId="1" type="noConversion"/>
  </si>
  <si>
    <t>control variate</t>
    <phoneticPr fontId="1" type="noConversion"/>
  </si>
  <si>
    <t>d</t>
    <phoneticPr fontId="1" type="noConversion"/>
  </si>
  <si>
    <t>antithetic + control variate</t>
    <phoneticPr fontId="1" type="noConversion"/>
  </si>
  <si>
    <t>f</t>
    <phoneticPr fontId="1" type="noConversion"/>
  </si>
  <si>
    <t>text book exercise 6.4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</si>
</sst>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7"/>
  <sheetViews>
    <sheetView tabSelected="1" workbookViewId="0">
      <selection activeCell="C7" sqref="C7"/>
    </sheetView>
  </sheetViews>
  <sheetFormatPr defaultRowHeight="13.5" x14ac:dyDescent="0.15"/>
  <cols>
    <col min="2" max="2" width="25" bestFit="1" customWidth="1"/>
    <col min="3" max="4" width="12.75" customWidth="1"/>
    <col min="5" max="6" width="19.375" bestFit="1" customWidth="1"/>
    <col min="7" max="7" width="16.125" bestFit="1" customWidth="1"/>
    <col min="8" max="8" width="17.25" bestFit="1" customWidth="1"/>
    <col min="9" max="9" width="31.625" bestFit="1" customWidth="1"/>
  </cols>
  <sheetData>
    <row r="1" spans="1:9" x14ac:dyDescent="0.15">
      <c r="A1" t="s">
        <v>2</v>
      </c>
      <c r="C1" t="s">
        <v>5</v>
      </c>
      <c r="E1" t="s">
        <v>0</v>
      </c>
      <c r="F1" t="s">
        <v>1</v>
      </c>
      <c r="G1" t="s">
        <v>8</v>
      </c>
      <c r="H1" t="s">
        <v>10</v>
      </c>
      <c r="I1" t="s">
        <v>12</v>
      </c>
    </row>
    <row r="2" spans="1:9" x14ac:dyDescent="0.15">
      <c r="A2" t="s">
        <v>3</v>
      </c>
      <c r="B2">
        <f>_xlfn.VAR.S(E2:E107)</f>
        <v>1.71993866330446E-4</v>
      </c>
      <c r="C2" t="s">
        <v>6</v>
      </c>
      <c r="D2">
        <f>AVERAGE(E2:E107)</f>
        <v>0.99846603210258156</v>
      </c>
      <c r="E2">
        <f>a()</f>
        <v>0.97605611652683111</v>
      </c>
      <c r="F2">
        <f>b()</f>
        <v>0.99122128136868581</v>
      </c>
      <c r="G2">
        <f>c_s()</f>
        <v>0.99725210983681867</v>
      </c>
      <c r="H2">
        <f>d()</f>
        <v>1.0016377830881849</v>
      </c>
      <c r="I2">
        <f>combine()</f>
        <v>1.0011032006554126</v>
      </c>
    </row>
    <row r="3" spans="1:9" x14ac:dyDescent="0.15">
      <c r="A3" t="s">
        <v>4</v>
      </c>
      <c r="B3">
        <f>_xlfn.VAR.S(F2:F107)</f>
        <v>2.0726300418916355E-5</v>
      </c>
      <c r="C3" t="s">
        <v>7</v>
      </c>
      <c r="D3">
        <f>AVERAGE(F2:F107)</f>
        <v>1.000837101802829</v>
      </c>
      <c r="E3">
        <f>a()</f>
        <v>1.0087162710255271</v>
      </c>
      <c r="F3">
        <f t="shared" ref="F3:F66" si="0">b()</f>
        <v>1.0001414622569094</v>
      </c>
      <c r="G3">
        <f t="shared" ref="G3:G66" si="1">c_s()</f>
        <v>0.99965410646000996</v>
      </c>
      <c r="H3">
        <f t="shared" ref="H3:H66" si="2">d()</f>
        <v>1.0000716920147994</v>
      </c>
      <c r="I3">
        <f t="shared" ref="I3:I66" si="3">combine()</f>
        <v>1.0045024029349487</v>
      </c>
    </row>
    <row r="4" spans="1:9" x14ac:dyDescent="0.15">
      <c r="A4" t="s">
        <v>9</v>
      </c>
      <c r="B4">
        <f>_xlfn.VAR.S(G2:G107)</f>
        <v>8.7931446948250104E-6</v>
      </c>
      <c r="C4" t="s">
        <v>9</v>
      </c>
      <c r="D4">
        <f>AVERAGE(G2:G107)</f>
        <v>0.99951804131428623</v>
      </c>
      <c r="E4">
        <f t="shared" ref="E4:E67" si="4">a()</f>
        <v>0.9808718589355474</v>
      </c>
      <c r="F4">
        <f t="shared" si="0"/>
        <v>1.0054417749978459</v>
      </c>
      <c r="G4">
        <f t="shared" si="1"/>
        <v>0.9984086702613244</v>
      </c>
      <c r="H4">
        <f t="shared" si="2"/>
        <v>0.9923845085415447</v>
      </c>
      <c r="I4">
        <f t="shared" si="3"/>
        <v>1.0014520294297853</v>
      </c>
    </row>
    <row r="5" spans="1:9" x14ac:dyDescent="0.15">
      <c r="A5" t="s">
        <v>11</v>
      </c>
      <c r="B5">
        <f>_xlfn.VAR.S(H2:H107)</f>
        <v>1.7380862049272314E-5</v>
      </c>
      <c r="C5" t="s">
        <v>11</v>
      </c>
      <c r="D5">
        <f>AVERAGE(H2:H107)</f>
        <v>1.0002142171417483</v>
      </c>
      <c r="E5">
        <f t="shared" si="4"/>
        <v>0.99043957845003228</v>
      </c>
      <c r="F5">
        <f t="shared" si="0"/>
        <v>0.99451284376962812</v>
      </c>
      <c r="G5">
        <f t="shared" si="1"/>
        <v>1.0009840359120556</v>
      </c>
      <c r="H5">
        <f t="shared" si="2"/>
        <v>1.0038205337371933</v>
      </c>
      <c r="I5">
        <f t="shared" si="3"/>
        <v>1.0015045989509694</v>
      </c>
    </row>
    <row r="6" spans="1:9" x14ac:dyDescent="0.15">
      <c r="A6" t="s">
        <v>13</v>
      </c>
      <c r="B6">
        <f>_xlfn.VAR.S(I2:I107)</f>
        <v>2.1694273276291789E-5</v>
      </c>
      <c r="C6" t="s">
        <v>13</v>
      </c>
      <c r="D6">
        <f>AVERAGE(I2:I107)</f>
        <v>1.0000332560103775</v>
      </c>
      <c r="E6">
        <f t="shared" si="4"/>
        <v>0.99249465568108552</v>
      </c>
      <c r="F6">
        <f t="shared" si="0"/>
        <v>0.99996312547754729</v>
      </c>
      <c r="G6">
        <f t="shared" si="1"/>
        <v>0.99960186384619587</v>
      </c>
      <c r="H6">
        <f t="shared" si="2"/>
        <v>0.99997185087786344</v>
      </c>
      <c r="I6">
        <f t="shared" si="3"/>
        <v>1.0022062408641303</v>
      </c>
    </row>
    <row r="7" spans="1:9" x14ac:dyDescent="0.15">
      <c r="E7">
        <f t="shared" si="4"/>
        <v>0.98325675013551062</v>
      </c>
      <c r="F7">
        <f t="shared" si="0"/>
        <v>1.0013884684055547</v>
      </c>
      <c r="G7">
        <f t="shared" si="1"/>
        <v>0.99596210330072321</v>
      </c>
      <c r="H7">
        <f t="shared" si="2"/>
        <v>0.99689686470950023</v>
      </c>
      <c r="I7">
        <f t="shared" si="3"/>
        <v>1.0030807362375036</v>
      </c>
    </row>
    <row r="8" spans="1:9" x14ac:dyDescent="0.15">
      <c r="E8">
        <f t="shared" si="4"/>
        <v>0.99653621886377419</v>
      </c>
      <c r="F8">
        <f t="shared" si="0"/>
        <v>0.98995752160731532</v>
      </c>
      <c r="G8">
        <f t="shared" si="1"/>
        <v>1.0039987790265383</v>
      </c>
      <c r="H8">
        <f t="shared" si="2"/>
        <v>1.0033286904820375</v>
      </c>
      <c r="I8">
        <f t="shared" si="3"/>
        <v>1.003374799751966</v>
      </c>
    </row>
    <row r="9" spans="1:9" x14ac:dyDescent="0.15">
      <c r="B9" t="s">
        <v>14</v>
      </c>
      <c r="E9">
        <f t="shared" si="4"/>
        <v>0.99565299449408462</v>
      </c>
      <c r="F9">
        <f t="shared" si="0"/>
        <v>1.0017966175203563</v>
      </c>
      <c r="G9">
        <f t="shared" si="1"/>
        <v>0.99745162835599988</v>
      </c>
      <c r="H9">
        <f t="shared" si="2"/>
        <v>0.99842259742909734</v>
      </c>
      <c r="I9">
        <f t="shared" si="3"/>
        <v>1.0036129807806657</v>
      </c>
    </row>
    <row r="10" spans="1:9" x14ac:dyDescent="0.15">
      <c r="E10">
        <f t="shared" si="4"/>
        <v>0.98047304144771674</v>
      </c>
      <c r="F10">
        <f t="shared" si="0"/>
        <v>0.99825320697380304</v>
      </c>
      <c r="G10">
        <f t="shared" si="1"/>
        <v>1.000023844938732</v>
      </c>
      <c r="H10">
        <f t="shared" si="2"/>
        <v>0.99942628928657629</v>
      </c>
      <c r="I10">
        <f t="shared" si="3"/>
        <v>0.99584470690664861</v>
      </c>
    </row>
    <row r="11" spans="1:9" x14ac:dyDescent="0.15">
      <c r="E11">
        <f t="shared" si="4"/>
        <v>0.99722694268431766</v>
      </c>
      <c r="F11">
        <f t="shared" si="0"/>
        <v>1.00165963858864</v>
      </c>
      <c r="G11">
        <f t="shared" si="1"/>
        <v>0.99797491262176696</v>
      </c>
      <c r="H11">
        <f t="shared" si="2"/>
        <v>1.006783632949628</v>
      </c>
      <c r="I11">
        <f t="shared" si="3"/>
        <v>0.98885571557218532</v>
      </c>
    </row>
    <row r="12" spans="1:9" x14ac:dyDescent="0.15">
      <c r="E12">
        <f t="shared" si="4"/>
        <v>1.0028421065413033</v>
      </c>
      <c r="F12">
        <f t="shared" si="0"/>
        <v>0.99870039385882103</v>
      </c>
      <c r="G12">
        <f t="shared" si="1"/>
        <v>1.0025150711626045</v>
      </c>
      <c r="H12">
        <f t="shared" si="2"/>
        <v>1.0059856707165211</v>
      </c>
      <c r="I12">
        <f t="shared" si="3"/>
        <v>0.99728875673729522</v>
      </c>
    </row>
    <row r="13" spans="1:9" x14ac:dyDescent="0.15">
      <c r="E13">
        <f t="shared" si="4"/>
        <v>1.0096759168661675</v>
      </c>
      <c r="F13">
        <f t="shared" si="0"/>
        <v>0.99978699420977446</v>
      </c>
      <c r="G13">
        <f t="shared" si="1"/>
        <v>1.0018864186398611</v>
      </c>
      <c r="H13">
        <f t="shared" si="2"/>
        <v>1.001757874955906</v>
      </c>
      <c r="I13">
        <f t="shared" si="3"/>
        <v>0.99657015237169821</v>
      </c>
    </row>
    <row r="14" spans="1:9" x14ac:dyDescent="0.15">
      <c r="E14">
        <f t="shared" si="4"/>
        <v>1.0066520052126042</v>
      </c>
      <c r="F14">
        <f t="shared" si="0"/>
        <v>1.0099747954334657</v>
      </c>
      <c r="G14">
        <f t="shared" si="1"/>
        <v>1.0025094503959338</v>
      </c>
      <c r="H14">
        <f t="shared" si="2"/>
        <v>1.0085615904225316</v>
      </c>
      <c r="I14">
        <f t="shared" si="3"/>
        <v>0.9958863280759308</v>
      </c>
    </row>
    <row r="15" spans="1:9" x14ac:dyDescent="0.15">
      <c r="E15">
        <f t="shared" si="4"/>
        <v>1.0013720420360417</v>
      </c>
      <c r="F15">
        <f t="shared" si="0"/>
        <v>0.99646128011056079</v>
      </c>
      <c r="G15">
        <f t="shared" si="1"/>
        <v>1.0058015717848201</v>
      </c>
      <c r="H15">
        <f t="shared" si="2"/>
        <v>0.99233604159804689</v>
      </c>
      <c r="I15">
        <f t="shared" si="3"/>
        <v>1.0008908231393578</v>
      </c>
    </row>
    <row r="16" spans="1:9" x14ac:dyDescent="0.15">
      <c r="E16">
        <f t="shared" si="4"/>
        <v>0.98803907673492852</v>
      </c>
      <c r="F16">
        <f t="shared" si="0"/>
        <v>1.0033373288573468</v>
      </c>
      <c r="G16">
        <f t="shared" si="1"/>
        <v>1.0007808120823491</v>
      </c>
      <c r="H16">
        <f t="shared" si="2"/>
        <v>0.99679813888445457</v>
      </c>
      <c r="I16">
        <f t="shared" si="3"/>
        <v>1.0049474718588673</v>
      </c>
    </row>
    <row r="17" spans="5:9" x14ac:dyDescent="0.15">
      <c r="E17">
        <f t="shared" si="4"/>
        <v>0.99236557649755108</v>
      </c>
      <c r="F17">
        <f t="shared" si="0"/>
        <v>1.0066418141298046</v>
      </c>
      <c r="G17">
        <f t="shared" si="1"/>
        <v>0.99849736737653783</v>
      </c>
      <c r="H17">
        <f t="shared" si="2"/>
        <v>1.0068027397723798</v>
      </c>
      <c r="I17">
        <f t="shared" si="3"/>
        <v>0.99668034792869797</v>
      </c>
    </row>
    <row r="18" spans="5:9" x14ac:dyDescent="0.15">
      <c r="E18">
        <f t="shared" si="4"/>
        <v>0.99010647074488645</v>
      </c>
      <c r="F18">
        <f t="shared" si="0"/>
        <v>0.99724178378541617</v>
      </c>
      <c r="G18">
        <f t="shared" si="1"/>
        <v>0.99964077508132509</v>
      </c>
      <c r="H18">
        <f t="shared" si="2"/>
        <v>1.0026778292613807</v>
      </c>
      <c r="I18">
        <f t="shared" si="3"/>
        <v>1.001905287157328</v>
      </c>
    </row>
    <row r="19" spans="5:9" x14ac:dyDescent="0.15">
      <c r="E19">
        <f t="shared" si="4"/>
        <v>0.99402578285572085</v>
      </c>
      <c r="F19">
        <f t="shared" si="0"/>
        <v>1.0029787753428405</v>
      </c>
      <c r="G19">
        <f t="shared" si="1"/>
        <v>0.99780011259662627</v>
      </c>
      <c r="H19">
        <f t="shared" si="2"/>
        <v>0.99384468324644182</v>
      </c>
      <c r="I19">
        <f t="shared" si="3"/>
        <v>0.99525355069855681</v>
      </c>
    </row>
    <row r="20" spans="5:9" x14ac:dyDescent="0.15">
      <c r="E20">
        <f t="shared" si="4"/>
        <v>0.99728714508038663</v>
      </c>
      <c r="F20">
        <f t="shared" si="0"/>
        <v>1.0012127520587457</v>
      </c>
      <c r="G20">
        <f t="shared" si="1"/>
        <v>1.0051772210591285</v>
      </c>
      <c r="H20">
        <f t="shared" si="2"/>
        <v>0.99898125720206876</v>
      </c>
      <c r="I20">
        <f t="shared" si="3"/>
        <v>0.99535627576736407</v>
      </c>
    </row>
    <row r="21" spans="5:9" x14ac:dyDescent="0.15">
      <c r="E21">
        <f t="shared" si="4"/>
        <v>1.0233322834864629</v>
      </c>
      <c r="F21">
        <f t="shared" si="0"/>
        <v>1.0022218391600226</v>
      </c>
      <c r="G21">
        <f t="shared" si="1"/>
        <v>0.99466491922845757</v>
      </c>
      <c r="H21">
        <f t="shared" si="2"/>
        <v>0.99817479459305325</v>
      </c>
      <c r="I21">
        <f t="shared" si="3"/>
        <v>1.0038288537962188</v>
      </c>
    </row>
    <row r="22" spans="5:9" x14ac:dyDescent="0.15">
      <c r="E22">
        <f t="shared" si="4"/>
        <v>1.0075886182392704</v>
      </c>
      <c r="F22">
        <f t="shared" si="0"/>
        <v>1.0031070228166259</v>
      </c>
      <c r="G22">
        <f t="shared" si="1"/>
        <v>1.0005051406649772</v>
      </c>
      <c r="H22">
        <f t="shared" si="2"/>
        <v>1.0009535098644355</v>
      </c>
      <c r="I22">
        <f t="shared" si="3"/>
        <v>0.99633712931929785</v>
      </c>
    </row>
    <row r="23" spans="5:9" x14ac:dyDescent="0.15">
      <c r="E23">
        <f t="shared" si="4"/>
        <v>1.0193520120206456</v>
      </c>
      <c r="F23">
        <f t="shared" si="0"/>
        <v>0.99017753192278302</v>
      </c>
      <c r="G23">
        <f t="shared" si="1"/>
        <v>1.0036592258758243</v>
      </c>
      <c r="H23">
        <f t="shared" si="2"/>
        <v>0.99504028615798501</v>
      </c>
      <c r="I23">
        <f t="shared" si="3"/>
        <v>1.0040394843427138</v>
      </c>
    </row>
    <row r="24" spans="5:9" x14ac:dyDescent="0.15">
      <c r="E24">
        <f t="shared" si="4"/>
        <v>1.0160556235832843</v>
      </c>
      <c r="F24">
        <f t="shared" si="0"/>
        <v>0.99182093022746576</v>
      </c>
      <c r="G24">
        <f t="shared" si="1"/>
        <v>0.99954738217734573</v>
      </c>
      <c r="H24">
        <f t="shared" si="2"/>
        <v>1.0033271179525172</v>
      </c>
      <c r="I24">
        <f t="shared" si="3"/>
        <v>1.0008669967900439</v>
      </c>
    </row>
    <row r="25" spans="5:9" x14ac:dyDescent="0.15">
      <c r="E25">
        <f t="shared" si="4"/>
        <v>0.99854928337669369</v>
      </c>
      <c r="F25">
        <f t="shared" si="0"/>
        <v>0.99982324197313721</v>
      </c>
      <c r="G25">
        <f t="shared" si="1"/>
        <v>0.99589547747097562</v>
      </c>
      <c r="H25">
        <f t="shared" si="2"/>
        <v>1.0040082179039291</v>
      </c>
      <c r="I25">
        <f t="shared" si="3"/>
        <v>0.99634746850751943</v>
      </c>
    </row>
    <row r="26" spans="5:9" x14ac:dyDescent="0.15">
      <c r="E26">
        <f t="shared" si="4"/>
        <v>0.98156059282445463</v>
      </c>
      <c r="F26">
        <f t="shared" si="0"/>
        <v>0.99464223371544558</v>
      </c>
      <c r="G26">
        <f t="shared" si="1"/>
        <v>0.99575407351872636</v>
      </c>
      <c r="H26">
        <f t="shared" si="2"/>
        <v>0.99780006133555232</v>
      </c>
      <c r="I26">
        <f t="shared" si="3"/>
        <v>0.99932276711742174</v>
      </c>
    </row>
    <row r="27" spans="5:9" x14ac:dyDescent="0.15">
      <c r="E27">
        <f t="shared" si="4"/>
        <v>0.99540174661011749</v>
      </c>
      <c r="F27">
        <f t="shared" si="0"/>
        <v>1.0002389049601053</v>
      </c>
      <c r="G27">
        <f t="shared" si="1"/>
        <v>0.99501073999071865</v>
      </c>
      <c r="H27">
        <f t="shared" si="2"/>
        <v>0.99871783645245937</v>
      </c>
      <c r="I27">
        <f t="shared" si="3"/>
        <v>0.99547077375864212</v>
      </c>
    </row>
    <row r="28" spans="5:9" x14ac:dyDescent="0.15">
      <c r="E28">
        <f t="shared" si="4"/>
        <v>0.99006169707577407</v>
      </c>
      <c r="F28">
        <f t="shared" si="0"/>
        <v>1.0036013100910659</v>
      </c>
      <c r="G28">
        <f t="shared" si="1"/>
        <v>1.0007402477352609</v>
      </c>
      <c r="H28">
        <f t="shared" si="2"/>
        <v>1.0005067422999354</v>
      </c>
      <c r="I28">
        <f t="shared" si="3"/>
        <v>1.0004117215399275</v>
      </c>
    </row>
    <row r="29" spans="5:9" x14ac:dyDescent="0.15">
      <c r="E29">
        <f t="shared" si="4"/>
        <v>1.0285733034527487</v>
      </c>
      <c r="F29">
        <f t="shared" si="0"/>
        <v>0.99318250485091342</v>
      </c>
      <c r="G29">
        <f t="shared" si="1"/>
        <v>0.99722573327519892</v>
      </c>
      <c r="H29">
        <f t="shared" si="2"/>
        <v>0.98908076372041465</v>
      </c>
      <c r="I29">
        <f t="shared" si="3"/>
        <v>1.0069283842517647</v>
      </c>
    </row>
    <row r="30" spans="5:9" x14ac:dyDescent="0.15">
      <c r="E30">
        <f t="shared" si="4"/>
        <v>0.98950188407495621</v>
      </c>
      <c r="F30">
        <f t="shared" si="0"/>
        <v>0.99930305504960693</v>
      </c>
      <c r="G30">
        <f t="shared" si="1"/>
        <v>1.0036184228957929</v>
      </c>
      <c r="H30">
        <f t="shared" si="2"/>
        <v>1.0064435592150645</v>
      </c>
      <c r="I30">
        <f t="shared" si="3"/>
        <v>1.00193702990626</v>
      </c>
    </row>
    <row r="31" spans="5:9" x14ac:dyDescent="0.15">
      <c r="E31">
        <f t="shared" si="4"/>
        <v>1.0026442092586656</v>
      </c>
      <c r="F31">
        <f t="shared" si="0"/>
        <v>1.0111163831180361</v>
      </c>
      <c r="G31">
        <f t="shared" si="1"/>
        <v>0.99441373832188817</v>
      </c>
      <c r="H31">
        <f t="shared" si="2"/>
        <v>1.0017988877665722</v>
      </c>
      <c r="I31">
        <f t="shared" si="3"/>
        <v>1.0014960948655471</v>
      </c>
    </row>
    <row r="32" spans="5:9" x14ac:dyDescent="0.15">
      <c r="E32">
        <f t="shared" si="4"/>
        <v>1.0178822700861829</v>
      </c>
      <c r="F32">
        <f t="shared" si="0"/>
        <v>0.99398728786192936</v>
      </c>
      <c r="G32">
        <f t="shared" si="1"/>
        <v>1.0015245640860022</v>
      </c>
      <c r="H32">
        <f t="shared" si="2"/>
        <v>1.0061702907988028</v>
      </c>
      <c r="I32">
        <f t="shared" si="3"/>
        <v>1.0057869108116042</v>
      </c>
    </row>
    <row r="33" spans="5:9" x14ac:dyDescent="0.15">
      <c r="E33">
        <f t="shared" si="4"/>
        <v>0.99522886976189529</v>
      </c>
      <c r="F33">
        <f t="shared" si="0"/>
        <v>1.0016063218847</v>
      </c>
      <c r="G33">
        <f t="shared" si="1"/>
        <v>1.0020608954551304</v>
      </c>
      <c r="H33">
        <f t="shared" si="2"/>
        <v>1.0002679872715823</v>
      </c>
      <c r="I33">
        <f t="shared" si="3"/>
        <v>1.0017695932867465</v>
      </c>
    </row>
    <row r="34" spans="5:9" x14ac:dyDescent="0.15">
      <c r="E34">
        <f t="shared" si="4"/>
        <v>0.97359777664641045</v>
      </c>
      <c r="F34">
        <f t="shared" si="0"/>
        <v>1.005136368177062</v>
      </c>
      <c r="G34">
        <f t="shared" si="1"/>
        <v>1.0068802917012734</v>
      </c>
      <c r="H34">
        <f t="shared" si="2"/>
        <v>0.99884089612809457</v>
      </c>
      <c r="I34">
        <f t="shared" si="3"/>
        <v>1.0012756279935326</v>
      </c>
    </row>
    <row r="35" spans="5:9" x14ac:dyDescent="0.15">
      <c r="E35">
        <f t="shared" si="4"/>
        <v>0.98784146329365774</v>
      </c>
      <c r="F35">
        <f t="shared" si="0"/>
        <v>0.99941053443448613</v>
      </c>
      <c r="G35">
        <f t="shared" si="1"/>
        <v>0.99696319672225076</v>
      </c>
      <c r="H35">
        <f t="shared" si="2"/>
        <v>0.99700268778818557</v>
      </c>
      <c r="I35">
        <f t="shared" si="3"/>
        <v>0.99820153706052317</v>
      </c>
    </row>
    <row r="36" spans="5:9" x14ac:dyDescent="0.15">
      <c r="E36">
        <f t="shared" si="4"/>
        <v>0.97342859831636053</v>
      </c>
      <c r="F36">
        <f t="shared" si="0"/>
        <v>0.9967543372222688</v>
      </c>
      <c r="G36">
        <f t="shared" si="1"/>
        <v>1.000892490004412</v>
      </c>
      <c r="H36">
        <f t="shared" si="2"/>
        <v>0.99736463159122091</v>
      </c>
      <c r="I36">
        <f t="shared" si="3"/>
        <v>0.99929055507003595</v>
      </c>
    </row>
    <row r="37" spans="5:9" x14ac:dyDescent="0.15">
      <c r="E37">
        <f t="shared" si="4"/>
        <v>1.0154224487470151</v>
      </c>
      <c r="F37">
        <f t="shared" si="0"/>
        <v>0.99752559620836601</v>
      </c>
      <c r="G37">
        <f t="shared" si="1"/>
        <v>0.99882306330092707</v>
      </c>
      <c r="H37">
        <f t="shared" si="2"/>
        <v>1.003169121137049</v>
      </c>
      <c r="I37">
        <f t="shared" si="3"/>
        <v>1.0077678579828477</v>
      </c>
    </row>
    <row r="38" spans="5:9" x14ac:dyDescent="0.15">
      <c r="E38">
        <f t="shared" si="4"/>
        <v>0.99238640711518789</v>
      </c>
      <c r="F38">
        <f t="shared" si="0"/>
        <v>1.0034213710212763</v>
      </c>
      <c r="G38">
        <f t="shared" si="1"/>
        <v>1.0026936678588731</v>
      </c>
      <c r="H38">
        <f t="shared" si="2"/>
        <v>1.001324405383847</v>
      </c>
      <c r="I38">
        <f t="shared" si="3"/>
        <v>1.0061998951422335</v>
      </c>
    </row>
    <row r="39" spans="5:9" x14ac:dyDescent="0.15">
      <c r="E39">
        <f t="shared" si="4"/>
        <v>1.003916292722675</v>
      </c>
      <c r="F39">
        <f t="shared" si="0"/>
        <v>1.0043913790585974</v>
      </c>
      <c r="G39">
        <f t="shared" si="1"/>
        <v>0.99899255806255838</v>
      </c>
      <c r="H39">
        <f t="shared" si="2"/>
        <v>0.99984287957187612</v>
      </c>
      <c r="I39">
        <f t="shared" si="3"/>
        <v>1.0047567945143172</v>
      </c>
    </row>
    <row r="40" spans="5:9" x14ac:dyDescent="0.15">
      <c r="E40">
        <f t="shared" si="4"/>
        <v>1.0042479247043439</v>
      </c>
      <c r="F40">
        <f t="shared" si="0"/>
        <v>1.0114570746393632</v>
      </c>
      <c r="G40">
        <f t="shared" si="1"/>
        <v>1.00388251660673</v>
      </c>
      <c r="H40">
        <f t="shared" si="2"/>
        <v>1.0035172889849349</v>
      </c>
      <c r="I40">
        <f t="shared" si="3"/>
        <v>1.0001856981562895</v>
      </c>
    </row>
    <row r="41" spans="5:9" x14ac:dyDescent="0.15">
      <c r="E41">
        <f t="shared" si="4"/>
        <v>0.99309075098297783</v>
      </c>
      <c r="F41">
        <f t="shared" si="0"/>
        <v>1.0037903216016915</v>
      </c>
      <c r="G41">
        <f t="shared" si="1"/>
        <v>0.99922281747975761</v>
      </c>
      <c r="H41">
        <f t="shared" si="2"/>
        <v>0.99386908432378129</v>
      </c>
      <c r="I41">
        <f t="shared" si="3"/>
        <v>0.9973249393966227</v>
      </c>
    </row>
    <row r="42" spans="5:9" x14ac:dyDescent="0.15">
      <c r="E42">
        <f t="shared" si="4"/>
        <v>0.97226685892395492</v>
      </c>
      <c r="F42">
        <f t="shared" si="0"/>
        <v>0.99678511213838572</v>
      </c>
      <c r="G42">
        <f t="shared" si="1"/>
        <v>1.0020081371558422</v>
      </c>
      <c r="H42">
        <f t="shared" si="2"/>
        <v>0.99468513970283934</v>
      </c>
      <c r="I42">
        <f t="shared" si="3"/>
        <v>1.0077432515811235</v>
      </c>
    </row>
    <row r="43" spans="5:9" x14ac:dyDescent="0.15">
      <c r="E43">
        <f t="shared" si="4"/>
        <v>0.98124242088904279</v>
      </c>
      <c r="F43">
        <f t="shared" si="0"/>
        <v>1.0086640930594224</v>
      </c>
      <c r="G43">
        <f t="shared" si="1"/>
        <v>1.0044087014909651</v>
      </c>
      <c r="H43">
        <f t="shared" si="2"/>
        <v>1.0009656352356624</v>
      </c>
      <c r="I43">
        <f t="shared" si="3"/>
        <v>0.99910052933322313</v>
      </c>
    </row>
    <row r="44" spans="5:9" x14ac:dyDescent="0.15">
      <c r="E44">
        <f t="shared" si="4"/>
        <v>1.0132927453259524</v>
      </c>
      <c r="F44">
        <f t="shared" si="0"/>
        <v>1.0027423416314207</v>
      </c>
      <c r="G44">
        <f t="shared" si="1"/>
        <v>0.999270409683917</v>
      </c>
      <c r="H44">
        <f t="shared" si="2"/>
        <v>1.0027237766940271</v>
      </c>
      <c r="I44">
        <f t="shared" si="3"/>
        <v>0.995602275126243</v>
      </c>
    </row>
    <row r="45" spans="5:9" x14ac:dyDescent="0.15">
      <c r="E45">
        <f t="shared" si="4"/>
        <v>1.0168812916066006</v>
      </c>
      <c r="F45">
        <f t="shared" si="0"/>
        <v>1.0029019414668556</v>
      </c>
      <c r="G45">
        <f t="shared" si="1"/>
        <v>0.99883745581296679</v>
      </c>
      <c r="H45">
        <f t="shared" si="2"/>
        <v>1.0068513639019798</v>
      </c>
      <c r="I45">
        <f t="shared" si="3"/>
        <v>1.0090907231685087</v>
      </c>
    </row>
    <row r="46" spans="5:9" x14ac:dyDescent="0.15">
      <c r="E46">
        <f t="shared" si="4"/>
        <v>0.97411769337885468</v>
      </c>
      <c r="F46">
        <f t="shared" si="0"/>
        <v>0.99605801492335178</v>
      </c>
      <c r="G46">
        <f t="shared" si="1"/>
        <v>1.0007485933509885</v>
      </c>
      <c r="H46">
        <f t="shared" si="2"/>
        <v>0.99670697731571434</v>
      </c>
      <c r="I46">
        <f t="shared" si="3"/>
        <v>0.9999159480534312</v>
      </c>
    </row>
    <row r="47" spans="5:9" x14ac:dyDescent="0.15">
      <c r="E47">
        <f t="shared" si="4"/>
        <v>1.0158846308800225</v>
      </c>
      <c r="F47">
        <f t="shared" si="0"/>
        <v>1.0035322587350586</v>
      </c>
      <c r="G47">
        <f t="shared" si="1"/>
        <v>0.99817790122020811</v>
      </c>
      <c r="H47">
        <f t="shared" si="2"/>
        <v>1.003430287315223</v>
      </c>
      <c r="I47">
        <f t="shared" si="3"/>
        <v>0.99884909592059468</v>
      </c>
    </row>
    <row r="48" spans="5:9" x14ac:dyDescent="0.15">
      <c r="E48">
        <f t="shared" si="4"/>
        <v>0.99985406738903115</v>
      </c>
      <c r="F48">
        <f t="shared" si="0"/>
        <v>0.99824124916874679</v>
      </c>
      <c r="G48">
        <f t="shared" si="1"/>
        <v>1.0035254840921879</v>
      </c>
      <c r="H48">
        <f t="shared" si="2"/>
        <v>0.99674369936085971</v>
      </c>
      <c r="I48">
        <f t="shared" si="3"/>
        <v>0.99940724008271686</v>
      </c>
    </row>
    <row r="49" spans="5:9" x14ac:dyDescent="0.15">
      <c r="E49">
        <f t="shared" si="4"/>
        <v>0.99304724788066234</v>
      </c>
      <c r="F49">
        <f t="shared" si="0"/>
        <v>1.0014063836848717</v>
      </c>
      <c r="G49">
        <f t="shared" si="1"/>
        <v>0.99651556277073305</v>
      </c>
      <c r="H49">
        <f t="shared" si="2"/>
        <v>0.9917150907101453</v>
      </c>
      <c r="I49">
        <f t="shared" si="3"/>
        <v>0.99963265077909236</v>
      </c>
    </row>
    <row r="50" spans="5:9" x14ac:dyDescent="0.15">
      <c r="E50">
        <f t="shared" si="4"/>
        <v>0.9931560292746221</v>
      </c>
      <c r="F50">
        <f t="shared" si="0"/>
        <v>1.0083069546830654</v>
      </c>
      <c r="G50">
        <f t="shared" si="1"/>
        <v>0.99645670273850739</v>
      </c>
      <c r="H50">
        <f t="shared" si="2"/>
        <v>1.0027290151787469</v>
      </c>
      <c r="I50">
        <f t="shared" si="3"/>
        <v>0.99867128707344655</v>
      </c>
    </row>
    <row r="51" spans="5:9" x14ac:dyDescent="0.15">
      <c r="E51">
        <f t="shared" si="4"/>
        <v>0.99164228857318903</v>
      </c>
      <c r="F51">
        <f t="shared" si="0"/>
        <v>1.0023221258071398</v>
      </c>
      <c r="G51">
        <f t="shared" si="1"/>
        <v>0.99433307363319057</v>
      </c>
      <c r="H51">
        <f t="shared" si="2"/>
        <v>1.0059609699947296</v>
      </c>
      <c r="I51">
        <f t="shared" si="3"/>
        <v>0.9973762320382995</v>
      </c>
    </row>
    <row r="52" spans="5:9" x14ac:dyDescent="0.15">
      <c r="E52">
        <f t="shared" si="4"/>
        <v>1.0167528134656869</v>
      </c>
      <c r="F52">
        <f t="shared" si="0"/>
        <v>1.00081647872774</v>
      </c>
      <c r="G52">
        <f t="shared" si="1"/>
        <v>0.99999057960683824</v>
      </c>
      <c r="H52">
        <f t="shared" si="2"/>
        <v>1.0035525670548444</v>
      </c>
      <c r="I52">
        <f t="shared" si="3"/>
        <v>0.99913286650989597</v>
      </c>
    </row>
    <row r="53" spans="5:9" x14ac:dyDescent="0.15">
      <c r="E53">
        <f t="shared" si="4"/>
        <v>0.99780574736879246</v>
      </c>
      <c r="F53">
        <f t="shared" si="0"/>
        <v>1.0101685583263857</v>
      </c>
      <c r="G53">
        <f t="shared" si="1"/>
        <v>1.0014576204254955</v>
      </c>
      <c r="H53">
        <f t="shared" si="2"/>
        <v>0.99985232355235654</v>
      </c>
      <c r="I53">
        <f t="shared" si="3"/>
        <v>0.99767295000825329</v>
      </c>
    </row>
    <row r="54" spans="5:9" x14ac:dyDescent="0.15">
      <c r="E54">
        <f t="shared" si="4"/>
        <v>0.99534576941896447</v>
      </c>
      <c r="F54">
        <f t="shared" si="0"/>
        <v>0.99493414603220076</v>
      </c>
      <c r="G54">
        <f t="shared" si="1"/>
        <v>1.0009307160881655</v>
      </c>
      <c r="H54">
        <f t="shared" si="2"/>
        <v>0.99397079406249578</v>
      </c>
      <c r="I54">
        <f t="shared" si="3"/>
        <v>1.0002608110986029</v>
      </c>
    </row>
    <row r="55" spans="5:9" x14ac:dyDescent="0.15">
      <c r="E55">
        <f t="shared" si="4"/>
        <v>1.0003905721329547</v>
      </c>
      <c r="F55">
        <f t="shared" si="0"/>
        <v>1.0086450193205336</v>
      </c>
      <c r="G55">
        <f t="shared" si="1"/>
        <v>0.996721037347436</v>
      </c>
      <c r="H55">
        <f t="shared" si="2"/>
        <v>0.99821514230048725</v>
      </c>
      <c r="I55">
        <f t="shared" si="3"/>
        <v>1.003174517392595</v>
      </c>
    </row>
    <row r="56" spans="5:9" x14ac:dyDescent="0.15">
      <c r="E56">
        <f t="shared" si="4"/>
        <v>1.0010329612557167</v>
      </c>
      <c r="F56">
        <f t="shared" si="0"/>
        <v>1.0011160595326023</v>
      </c>
      <c r="G56">
        <f t="shared" si="1"/>
        <v>1.0037638093307806</v>
      </c>
      <c r="H56">
        <f t="shared" si="2"/>
        <v>1.004586160857514</v>
      </c>
      <c r="I56">
        <f t="shared" si="3"/>
        <v>0.99301527988122329</v>
      </c>
    </row>
    <row r="57" spans="5:9" x14ac:dyDescent="0.15">
      <c r="E57">
        <f t="shared" si="4"/>
        <v>1.0016587808015183</v>
      </c>
      <c r="F57">
        <f t="shared" si="0"/>
        <v>1.0082435496932707</v>
      </c>
      <c r="G57">
        <f t="shared" si="1"/>
        <v>0.99828649267798142</v>
      </c>
      <c r="H57">
        <f t="shared" si="2"/>
        <v>1.0001696409477827</v>
      </c>
      <c r="I57">
        <f t="shared" si="3"/>
        <v>0.9971349257953418</v>
      </c>
    </row>
    <row r="58" spans="5:9" x14ac:dyDescent="0.15">
      <c r="E58">
        <f t="shared" si="4"/>
        <v>0.98113680391364944</v>
      </c>
      <c r="F58">
        <f t="shared" si="0"/>
        <v>0.99789370945586942</v>
      </c>
      <c r="G58">
        <f t="shared" si="1"/>
        <v>0.99591122078035532</v>
      </c>
      <c r="H58">
        <f t="shared" si="2"/>
        <v>0.996468968599176</v>
      </c>
      <c r="I58">
        <f t="shared" si="3"/>
        <v>0.99639509797826797</v>
      </c>
    </row>
    <row r="59" spans="5:9" x14ac:dyDescent="0.15">
      <c r="E59">
        <f t="shared" si="4"/>
        <v>0.99363638414459032</v>
      </c>
      <c r="F59">
        <f t="shared" si="0"/>
        <v>1.0028784479249815</v>
      </c>
      <c r="G59">
        <f t="shared" si="1"/>
        <v>1.003268879648227</v>
      </c>
      <c r="H59">
        <f t="shared" si="2"/>
        <v>1.002253835906489</v>
      </c>
      <c r="I59">
        <f t="shared" si="3"/>
        <v>1.0031420581699044</v>
      </c>
    </row>
    <row r="60" spans="5:9" x14ac:dyDescent="0.15">
      <c r="E60">
        <f t="shared" si="4"/>
        <v>1.0225669343244688</v>
      </c>
      <c r="F60">
        <f t="shared" si="0"/>
        <v>0.99829256008270639</v>
      </c>
      <c r="G60">
        <f t="shared" si="1"/>
        <v>0.99825467219605013</v>
      </c>
      <c r="H60">
        <f t="shared" si="2"/>
        <v>1.0026360354014159</v>
      </c>
      <c r="I60">
        <f t="shared" si="3"/>
        <v>1.0094525306514845</v>
      </c>
    </row>
    <row r="61" spans="5:9" x14ac:dyDescent="0.15">
      <c r="E61">
        <f t="shared" si="4"/>
        <v>0.98677952596917407</v>
      </c>
      <c r="F61">
        <f t="shared" si="0"/>
        <v>0.98612670732200236</v>
      </c>
      <c r="G61">
        <f t="shared" si="1"/>
        <v>1.0016373707295243</v>
      </c>
      <c r="H61">
        <f t="shared" si="2"/>
        <v>0.98868517398102562</v>
      </c>
      <c r="I61">
        <f t="shared" si="3"/>
        <v>0.99934637335620169</v>
      </c>
    </row>
    <row r="62" spans="5:9" x14ac:dyDescent="0.15">
      <c r="E62">
        <f t="shared" si="4"/>
        <v>1.0006139222451362</v>
      </c>
      <c r="F62">
        <f t="shared" si="0"/>
        <v>1.0008204626418662</v>
      </c>
      <c r="G62">
        <f t="shared" si="1"/>
        <v>0.99652511425049028</v>
      </c>
      <c r="H62">
        <f t="shared" si="2"/>
        <v>1.0008993230937324</v>
      </c>
      <c r="I62">
        <f t="shared" si="3"/>
        <v>0.99220081897352119</v>
      </c>
    </row>
    <row r="63" spans="5:9" x14ac:dyDescent="0.15">
      <c r="E63">
        <f t="shared" si="4"/>
        <v>1.0118920932719881</v>
      </c>
      <c r="F63">
        <f t="shared" si="0"/>
        <v>1.0021425700765343</v>
      </c>
      <c r="G63">
        <f t="shared" si="1"/>
        <v>0.99783017711672872</v>
      </c>
      <c r="H63">
        <f t="shared" si="2"/>
        <v>1.003610860518501</v>
      </c>
      <c r="I63">
        <f t="shared" si="3"/>
        <v>1.0055311461610104</v>
      </c>
    </row>
    <row r="64" spans="5:9" x14ac:dyDescent="0.15">
      <c r="E64">
        <f t="shared" si="4"/>
        <v>1.0093577026028495</v>
      </c>
      <c r="F64">
        <f t="shared" si="0"/>
        <v>0.99805670248288281</v>
      </c>
      <c r="G64">
        <f t="shared" si="1"/>
        <v>1.0010648204366979</v>
      </c>
      <c r="H64">
        <f t="shared" si="2"/>
        <v>1.0021867314059321</v>
      </c>
      <c r="I64">
        <f t="shared" si="3"/>
        <v>1.0049299504086404</v>
      </c>
    </row>
    <row r="65" spans="5:9" x14ac:dyDescent="0.15">
      <c r="E65">
        <f t="shared" si="4"/>
        <v>0.99847377891218148</v>
      </c>
      <c r="F65">
        <f t="shared" si="0"/>
        <v>1.0054613461340687</v>
      </c>
      <c r="G65">
        <f t="shared" si="1"/>
        <v>0.9974256160241417</v>
      </c>
      <c r="H65">
        <f t="shared" si="2"/>
        <v>0.9981532117316203</v>
      </c>
      <c r="I65">
        <f t="shared" si="3"/>
        <v>0.99796357967026816</v>
      </c>
    </row>
    <row r="66" spans="5:9" x14ac:dyDescent="0.15">
      <c r="E66">
        <f t="shared" si="4"/>
        <v>1.003912527909254</v>
      </c>
      <c r="F66">
        <f t="shared" si="0"/>
        <v>1.0035527238826156</v>
      </c>
      <c r="G66">
        <f t="shared" si="1"/>
        <v>1.0010453155298684</v>
      </c>
      <c r="H66">
        <f t="shared" si="2"/>
        <v>0.9963287154137459</v>
      </c>
      <c r="I66">
        <f t="shared" si="3"/>
        <v>0.99617907520283056</v>
      </c>
    </row>
    <row r="67" spans="5:9" x14ac:dyDescent="0.15">
      <c r="E67">
        <f t="shared" si="4"/>
        <v>1.0019048166081179</v>
      </c>
      <c r="F67">
        <f t="shared" ref="F67:F107" si="5">b()</f>
        <v>0.99737562959078274</v>
      </c>
      <c r="G67">
        <f t="shared" ref="G67:G107" si="6">c_s()</f>
        <v>0.99496246086140194</v>
      </c>
      <c r="H67">
        <f t="shared" ref="H67:H107" si="7">d()</f>
        <v>1.0021487025481566</v>
      </c>
      <c r="I67">
        <f t="shared" ref="I67:I107" si="8">combine()</f>
        <v>0.99887436979521993</v>
      </c>
    </row>
    <row r="68" spans="5:9" x14ac:dyDescent="0.15">
      <c r="E68">
        <f t="shared" ref="E68:E107" si="9">a()</f>
        <v>1.0170316529217982</v>
      </c>
      <c r="F68">
        <f t="shared" si="5"/>
        <v>0.99677489023349586</v>
      </c>
      <c r="G68">
        <f t="shared" si="6"/>
        <v>1.0049976789342778</v>
      </c>
      <c r="H68">
        <f t="shared" si="7"/>
        <v>1.0062961143737101</v>
      </c>
      <c r="I68">
        <f t="shared" si="8"/>
        <v>1.0016754378651547</v>
      </c>
    </row>
    <row r="69" spans="5:9" x14ac:dyDescent="0.15">
      <c r="E69">
        <f t="shared" si="9"/>
        <v>0.98974944113077579</v>
      </c>
      <c r="F69">
        <f t="shared" si="5"/>
        <v>1.0036913326416306</v>
      </c>
      <c r="G69">
        <f t="shared" si="6"/>
        <v>0.99979559318735123</v>
      </c>
      <c r="H69">
        <f t="shared" si="7"/>
        <v>1.0002300500365646</v>
      </c>
      <c r="I69">
        <f t="shared" si="8"/>
        <v>0.99947102123846521</v>
      </c>
    </row>
    <row r="70" spans="5:9" x14ac:dyDescent="0.15">
      <c r="E70">
        <f t="shared" si="9"/>
        <v>1.0073898978500451</v>
      </c>
      <c r="F70">
        <f t="shared" si="5"/>
        <v>1.0021839595237094</v>
      </c>
      <c r="G70">
        <f t="shared" si="6"/>
        <v>1.0010692168632085</v>
      </c>
      <c r="H70">
        <f t="shared" si="7"/>
        <v>0.99753252041303453</v>
      </c>
      <c r="I70">
        <f t="shared" si="8"/>
        <v>0.99576128127945307</v>
      </c>
    </row>
    <row r="71" spans="5:9" x14ac:dyDescent="0.15">
      <c r="E71">
        <f t="shared" si="9"/>
        <v>0.99874655316128214</v>
      </c>
      <c r="F71">
        <f t="shared" si="5"/>
        <v>1.0030444184272185</v>
      </c>
      <c r="G71">
        <f t="shared" si="6"/>
        <v>1.0009219153647391</v>
      </c>
      <c r="H71">
        <f t="shared" si="7"/>
        <v>0.99524575944961147</v>
      </c>
      <c r="I71">
        <f t="shared" si="8"/>
        <v>1.002346751275746</v>
      </c>
    </row>
    <row r="72" spans="5:9" x14ac:dyDescent="0.15">
      <c r="E72">
        <f t="shared" si="9"/>
        <v>0.97388882559114787</v>
      </c>
      <c r="F72">
        <f t="shared" si="5"/>
        <v>1.0009049037355808</v>
      </c>
      <c r="G72">
        <f t="shared" si="6"/>
        <v>1.001760767107625</v>
      </c>
      <c r="H72">
        <f t="shared" si="7"/>
        <v>0.99964195350715146</v>
      </c>
      <c r="I72">
        <f t="shared" si="8"/>
        <v>1.0025630709977746</v>
      </c>
    </row>
    <row r="73" spans="5:9" x14ac:dyDescent="0.15">
      <c r="E73">
        <f t="shared" si="9"/>
        <v>0.98902777339252257</v>
      </c>
      <c r="F73">
        <f t="shared" si="5"/>
        <v>1.0007842784001038</v>
      </c>
      <c r="G73">
        <f t="shared" si="6"/>
        <v>0.99606315984998783</v>
      </c>
      <c r="H73">
        <f t="shared" si="7"/>
        <v>1.0032205327043622</v>
      </c>
      <c r="I73">
        <f t="shared" si="8"/>
        <v>1.0030005472521426</v>
      </c>
    </row>
    <row r="74" spans="5:9" x14ac:dyDescent="0.15">
      <c r="E74">
        <f t="shared" si="9"/>
        <v>0.99508851667323106</v>
      </c>
      <c r="F74">
        <f t="shared" si="5"/>
        <v>0.9957622962787076</v>
      </c>
      <c r="G74">
        <f t="shared" si="6"/>
        <v>0.99653297848053113</v>
      </c>
      <c r="H74">
        <f t="shared" si="7"/>
        <v>1.0024894797968005</v>
      </c>
      <c r="I74">
        <f t="shared" si="8"/>
        <v>1.0078614806871549</v>
      </c>
    </row>
    <row r="75" spans="5:9" x14ac:dyDescent="0.15">
      <c r="E75">
        <f t="shared" si="9"/>
        <v>1.0029919085548284</v>
      </c>
      <c r="F75">
        <f t="shared" si="5"/>
        <v>0.99868138122019423</v>
      </c>
      <c r="G75">
        <f t="shared" si="6"/>
        <v>0.99923154958759153</v>
      </c>
      <c r="H75">
        <f t="shared" si="7"/>
        <v>1.0040455144882319</v>
      </c>
      <c r="I75">
        <f t="shared" si="8"/>
        <v>0.99920430996299825</v>
      </c>
    </row>
    <row r="76" spans="5:9" x14ac:dyDescent="0.15">
      <c r="E76">
        <f t="shared" si="9"/>
        <v>0.99531478185612099</v>
      </c>
      <c r="F76">
        <f t="shared" si="5"/>
        <v>1.003649948447586</v>
      </c>
      <c r="G76">
        <f t="shared" si="6"/>
        <v>0.99730427184892212</v>
      </c>
      <c r="H76">
        <f t="shared" si="7"/>
        <v>1.0067652604373112</v>
      </c>
      <c r="I76">
        <f t="shared" si="8"/>
        <v>1.0111770715426189</v>
      </c>
    </row>
    <row r="77" spans="5:9" x14ac:dyDescent="0.15">
      <c r="E77">
        <f t="shared" si="9"/>
        <v>1.0198293433549246</v>
      </c>
      <c r="F77">
        <f t="shared" si="5"/>
        <v>1.0064533547495915</v>
      </c>
      <c r="G77">
        <f t="shared" si="6"/>
        <v>0.99556355077886671</v>
      </c>
      <c r="H77">
        <f t="shared" si="7"/>
        <v>0.99999811637623404</v>
      </c>
      <c r="I77">
        <f t="shared" si="8"/>
        <v>1.003579447625752</v>
      </c>
    </row>
    <row r="78" spans="5:9" x14ac:dyDescent="0.15">
      <c r="E78">
        <f t="shared" si="9"/>
        <v>0.97709577819275728</v>
      </c>
      <c r="F78">
        <f t="shared" si="5"/>
        <v>1.0019541564592005</v>
      </c>
      <c r="G78">
        <f t="shared" si="6"/>
        <v>0.99751852244103667</v>
      </c>
      <c r="H78">
        <f t="shared" si="7"/>
        <v>0.99803892312345965</v>
      </c>
      <c r="I78">
        <f t="shared" si="8"/>
        <v>0.99898988964286384</v>
      </c>
    </row>
    <row r="79" spans="5:9" x14ac:dyDescent="0.15">
      <c r="E79">
        <f t="shared" si="9"/>
        <v>1.0131870501300615</v>
      </c>
      <c r="F79">
        <f t="shared" si="5"/>
        <v>1.001366101245259</v>
      </c>
      <c r="G79">
        <f t="shared" si="6"/>
        <v>0.99916645207714483</v>
      </c>
      <c r="H79">
        <f t="shared" si="7"/>
        <v>0.99486561970730325</v>
      </c>
      <c r="I79">
        <f t="shared" si="8"/>
        <v>0.99624575537812432</v>
      </c>
    </row>
    <row r="80" spans="5:9" x14ac:dyDescent="0.15">
      <c r="E80">
        <f t="shared" si="9"/>
        <v>1.0030151146848929</v>
      </c>
      <c r="F80">
        <f t="shared" si="5"/>
        <v>1.0027291636515443</v>
      </c>
      <c r="G80">
        <f t="shared" si="6"/>
        <v>0.99892726524740627</v>
      </c>
      <c r="H80">
        <f t="shared" si="7"/>
        <v>1.0055977704387129</v>
      </c>
      <c r="I80">
        <f t="shared" si="8"/>
        <v>0.99547624111645872</v>
      </c>
    </row>
    <row r="81" spans="5:9" x14ac:dyDescent="0.15">
      <c r="E81">
        <f t="shared" si="9"/>
        <v>1.0036797351169366</v>
      </c>
      <c r="F81">
        <f t="shared" si="5"/>
        <v>1.0001738291037912</v>
      </c>
      <c r="G81">
        <f t="shared" si="6"/>
        <v>0.99611134310995675</v>
      </c>
      <c r="H81">
        <f t="shared" si="7"/>
        <v>0.99969735909433799</v>
      </c>
      <c r="I81">
        <f t="shared" si="8"/>
        <v>0.99871126188047787</v>
      </c>
    </row>
    <row r="82" spans="5:9" x14ac:dyDescent="0.15">
      <c r="E82">
        <f t="shared" si="9"/>
        <v>1.0205291633436511</v>
      </c>
      <c r="F82">
        <f t="shared" si="5"/>
        <v>1.0015363360883616</v>
      </c>
      <c r="G82">
        <f t="shared" si="6"/>
        <v>0.99882349162576722</v>
      </c>
      <c r="H82">
        <f t="shared" si="7"/>
        <v>1.001068626019683</v>
      </c>
      <c r="I82">
        <f t="shared" si="8"/>
        <v>0.99542529546426195</v>
      </c>
    </row>
    <row r="83" spans="5:9" x14ac:dyDescent="0.15">
      <c r="E83">
        <f t="shared" si="9"/>
        <v>0.99240257157892087</v>
      </c>
      <c r="F83">
        <f t="shared" si="5"/>
        <v>1.003024693670145</v>
      </c>
      <c r="G83">
        <f t="shared" si="6"/>
        <v>1.0007160158466919</v>
      </c>
      <c r="H83">
        <f t="shared" si="7"/>
        <v>1.0005807612408077</v>
      </c>
      <c r="I83">
        <f t="shared" si="8"/>
        <v>1.0037942555411494</v>
      </c>
    </row>
    <row r="84" spans="5:9" x14ac:dyDescent="0.15">
      <c r="E84">
        <f t="shared" si="9"/>
        <v>0.99754560259212177</v>
      </c>
      <c r="F84">
        <f t="shared" si="5"/>
        <v>1.0013150623000648</v>
      </c>
      <c r="G84">
        <f t="shared" si="6"/>
        <v>0.99531085889089554</v>
      </c>
      <c r="H84">
        <f t="shared" si="7"/>
        <v>1.0005525904498489</v>
      </c>
      <c r="I84">
        <f t="shared" si="8"/>
        <v>0.986458612910042</v>
      </c>
    </row>
    <row r="85" spans="5:9" x14ac:dyDescent="0.15">
      <c r="E85">
        <f t="shared" si="9"/>
        <v>0.98806493364172421</v>
      </c>
      <c r="F85">
        <f t="shared" si="5"/>
        <v>0.99719858952074392</v>
      </c>
      <c r="G85">
        <f t="shared" si="6"/>
        <v>0.99706522410234721</v>
      </c>
      <c r="H85">
        <f t="shared" si="7"/>
        <v>0.99655980667356836</v>
      </c>
      <c r="I85">
        <f t="shared" si="8"/>
        <v>1.0012408404071207</v>
      </c>
    </row>
    <row r="86" spans="5:9" x14ac:dyDescent="0.15">
      <c r="E86">
        <f t="shared" si="9"/>
        <v>1.0095121272327672</v>
      </c>
      <c r="F86">
        <f t="shared" si="5"/>
        <v>0.9998881782150465</v>
      </c>
      <c r="G86">
        <f t="shared" si="6"/>
        <v>1.002865592470386</v>
      </c>
      <c r="H86">
        <f t="shared" si="7"/>
        <v>0.99408602243017541</v>
      </c>
      <c r="I86">
        <f t="shared" si="8"/>
        <v>0.99359569917067747</v>
      </c>
    </row>
    <row r="87" spans="5:9" x14ac:dyDescent="0.15">
      <c r="E87">
        <f t="shared" si="9"/>
        <v>1.0161035356438692</v>
      </c>
      <c r="F87">
        <f t="shared" si="5"/>
        <v>0.99764755406398475</v>
      </c>
      <c r="G87">
        <f t="shared" si="6"/>
        <v>0.99463031281682412</v>
      </c>
      <c r="H87">
        <f t="shared" si="7"/>
        <v>0.99999194482048681</v>
      </c>
      <c r="I87">
        <f t="shared" si="8"/>
        <v>1.00537084884796</v>
      </c>
    </row>
    <row r="88" spans="5:9" x14ac:dyDescent="0.15">
      <c r="E88">
        <f t="shared" si="9"/>
        <v>0.98893529936832714</v>
      </c>
      <c r="F88">
        <f t="shared" si="5"/>
        <v>1.0012052083673371</v>
      </c>
      <c r="G88">
        <f t="shared" si="6"/>
        <v>0.99281511613308937</v>
      </c>
      <c r="H88">
        <f t="shared" si="7"/>
        <v>1.0026370547377714</v>
      </c>
      <c r="I88">
        <f t="shared" si="8"/>
        <v>1.0078429613223649</v>
      </c>
    </row>
    <row r="89" spans="5:9" x14ac:dyDescent="0.15">
      <c r="E89">
        <f t="shared" si="9"/>
        <v>0.96672526336472164</v>
      </c>
      <c r="F89">
        <f t="shared" si="5"/>
        <v>1.0022221230332209</v>
      </c>
      <c r="G89">
        <f t="shared" si="6"/>
        <v>0.99540088614573596</v>
      </c>
      <c r="H89">
        <f t="shared" si="7"/>
        <v>0.99156101414087383</v>
      </c>
      <c r="I89">
        <f t="shared" si="8"/>
        <v>1.0010200605315978</v>
      </c>
    </row>
    <row r="90" spans="5:9" x14ac:dyDescent="0.15">
      <c r="E90">
        <f t="shared" si="9"/>
        <v>1.0016981533380878</v>
      </c>
      <c r="F90">
        <f t="shared" si="5"/>
        <v>1.0014496699425255</v>
      </c>
      <c r="G90">
        <f t="shared" si="6"/>
        <v>0.99602885070363012</v>
      </c>
      <c r="H90">
        <f t="shared" si="7"/>
        <v>1.0052418860501073</v>
      </c>
      <c r="I90">
        <f t="shared" si="8"/>
        <v>0.99427543766670357</v>
      </c>
    </row>
    <row r="91" spans="5:9" x14ac:dyDescent="0.15">
      <c r="E91">
        <f t="shared" si="9"/>
        <v>0.99358731448829563</v>
      </c>
      <c r="F91">
        <f t="shared" si="5"/>
        <v>1.0035189254065884</v>
      </c>
      <c r="G91">
        <f t="shared" si="6"/>
        <v>0.99675350228151927</v>
      </c>
      <c r="H91">
        <f t="shared" si="7"/>
        <v>0.99751112169987632</v>
      </c>
      <c r="I91">
        <f t="shared" si="8"/>
        <v>1.004381619005382</v>
      </c>
    </row>
    <row r="92" spans="5:9" x14ac:dyDescent="0.15">
      <c r="E92">
        <f t="shared" si="9"/>
        <v>0.99759628068191541</v>
      </c>
      <c r="F92">
        <f t="shared" si="5"/>
        <v>1.0001033563421102</v>
      </c>
      <c r="G92">
        <f t="shared" si="6"/>
        <v>1.0002830486180079</v>
      </c>
      <c r="H92">
        <f t="shared" si="7"/>
        <v>1.0004504867996642</v>
      </c>
      <c r="I92">
        <f t="shared" si="8"/>
        <v>0.99717408101970617</v>
      </c>
    </row>
    <row r="93" spans="5:9" x14ac:dyDescent="0.15">
      <c r="E93">
        <f t="shared" si="9"/>
        <v>1.0163540576048371</v>
      </c>
      <c r="F93">
        <f t="shared" si="5"/>
        <v>0.99977205569173422</v>
      </c>
      <c r="G93">
        <f t="shared" si="6"/>
        <v>0.998397846682618</v>
      </c>
      <c r="H93">
        <f t="shared" si="7"/>
        <v>0.99911558171928261</v>
      </c>
      <c r="I93">
        <f t="shared" si="8"/>
        <v>0.99643929121569963</v>
      </c>
    </row>
    <row r="94" spans="5:9" x14ac:dyDescent="0.15">
      <c r="E94">
        <f t="shared" si="9"/>
        <v>0.98854640922793346</v>
      </c>
      <c r="F94">
        <f t="shared" si="5"/>
        <v>0.99382882443989151</v>
      </c>
      <c r="G94">
        <f t="shared" si="6"/>
        <v>0.99735134410000448</v>
      </c>
      <c r="H94">
        <f t="shared" si="7"/>
        <v>1.0051327975244204</v>
      </c>
      <c r="I94">
        <f t="shared" si="8"/>
        <v>1.0037229704071295</v>
      </c>
    </row>
    <row r="95" spans="5:9" x14ac:dyDescent="0.15">
      <c r="E95">
        <f t="shared" si="9"/>
        <v>1.0152145282846607</v>
      </c>
      <c r="F95">
        <f t="shared" si="5"/>
        <v>0.99861011207206807</v>
      </c>
      <c r="G95">
        <f t="shared" si="6"/>
        <v>0.99785792656893701</v>
      </c>
      <c r="H95">
        <f t="shared" si="7"/>
        <v>1.0013221253294744</v>
      </c>
      <c r="I95">
        <f t="shared" si="8"/>
        <v>0.99748551548341169</v>
      </c>
    </row>
    <row r="96" spans="5:9" x14ac:dyDescent="0.15">
      <c r="E96">
        <f t="shared" si="9"/>
        <v>0.99329437256713904</v>
      </c>
      <c r="F96">
        <f t="shared" si="5"/>
        <v>1.0008413676171652</v>
      </c>
      <c r="G96">
        <f t="shared" si="6"/>
        <v>1.0017949441374148</v>
      </c>
      <c r="H96">
        <f t="shared" si="7"/>
        <v>1.0011527444288189</v>
      </c>
      <c r="I96">
        <f t="shared" si="8"/>
        <v>0.99633690340755399</v>
      </c>
    </row>
    <row r="97" spans="5:9" x14ac:dyDescent="0.15">
      <c r="E97">
        <f t="shared" si="9"/>
        <v>1.0251793854933275</v>
      </c>
      <c r="F97">
        <f t="shared" si="5"/>
        <v>1.0024283412127515</v>
      </c>
      <c r="G97">
        <f t="shared" si="6"/>
        <v>1.0041960764154672</v>
      </c>
      <c r="H97">
        <f t="shared" si="7"/>
        <v>0.99655876811551902</v>
      </c>
      <c r="I97">
        <f t="shared" si="8"/>
        <v>0.99527308388845559</v>
      </c>
    </row>
    <row r="98" spans="5:9" x14ac:dyDescent="0.15">
      <c r="E98">
        <f t="shared" si="9"/>
        <v>1.0046305307869081</v>
      </c>
      <c r="F98">
        <f t="shared" si="5"/>
        <v>1.0009505693154428</v>
      </c>
      <c r="G98">
        <f t="shared" si="6"/>
        <v>1.0024432231281803</v>
      </c>
      <c r="H98">
        <f t="shared" si="7"/>
        <v>1.0061199844685567</v>
      </c>
      <c r="I98">
        <f t="shared" si="8"/>
        <v>0.99932935501965914</v>
      </c>
    </row>
    <row r="99" spans="5:9" x14ac:dyDescent="0.15">
      <c r="E99">
        <f t="shared" si="9"/>
        <v>1.0022269454280199</v>
      </c>
      <c r="F99">
        <f t="shared" si="5"/>
        <v>0.99388543710514243</v>
      </c>
      <c r="G99">
        <f t="shared" si="6"/>
        <v>0.9997920298589692</v>
      </c>
      <c r="H99">
        <f t="shared" si="7"/>
        <v>1.0040995949753568</v>
      </c>
      <c r="I99">
        <f t="shared" si="8"/>
        <v>1.0105618216693808</v>
      </c>
    </row>
    <row r="100" spans="5:9" x14ac:dyDescent="0.15">
      <c r="E100">
        <f t="shared" si="9"/>
        <v>0.99045953357819549</v>
      </c>
      <c r="F100">
        <f t="shared" si="5"/>
        <v>1.0076068845682564</v>
      </c>
      <c r="G100">
        <f t="shared" si="6"/>
        <v>1.0008660641106872</v>
      </c>
      <c r="H100">
        <f t="shared" si="7"/>
        <v>0.99762025015723754</v>
      </c>
      <c r="I100">
        <f t="shared" si="8"/>
        <v>0.9969308610069223</v>
      </c>
    </row>
    <row r="101" spans="5:9" x14ac:dyDescent="0.15">
      <c r="E101">
        <f t="shared" si="9"/>
        <v>1.0005151644681713</v>
      </c>
      <c r="F101">
        <f t="shared" si="5"/>
        <v>1.0030753045013854</v>
      </c>
      <c r="G101">
        <f t="shared" si="6"/>
        <v>1.0006676068269809</v>
      </c>
      <c r="H101">
        <f t="shared" si="7"/>
        <v>1.0029959545113798</v>
      </c>
      <c r="I101">
        <f t="shared" si="8"/>
        <v>0.99459160958596471</v>
      </c>
    </row>
    <row r="102" spans="5:9" x14ac:dyDescent="0.15">
      <c r="E102">
        <f t="shared" si="9"/>
        <v>1.0007864206484536</v>
      </c>
      <c r="F102">
        <f t="shared" si="5"/>
        <v>1.0050880105880038</v>
      </c>
      <c r="G102">
        <f t="shared" si="6"/>
        <v>1.0047337273542074</v>
      </c>
      <c r="H102">
        <f t="shared" si="7"/>
        <v>1.0016103313386371</v>
      </c>
      <c r="I102">
        <f t="shared" si="8"/>
        <v>1.0023082899407658</v>
      </c>
    </row>
    <row r="103" spans="5:9" x14ac:dyDescent="0.15">
      <c r="E103">
        <f t="shared" si="9"/>
        <v>0.98691325247896189</v>
      </c>
      <c r="F103">
        <f t="shared" si="5"/>
        <v>1.005317549155996</v>
      </c>
      <c r="G103">
        <f t="shared" si="6"/>
        <v>1.0004233842463699</v>
      </c>
      <c r="H103">
        <f t="shared" si="7"/>
        <v>0.99904555372635018</v>
      </c>
      <c r="I103">
        <f t="shared" si="8"/>
        <v>0.98893804786382611</v>
      </c>
    </row>
    <row r="104" spans="5:9" x14ac:dyDescent="0.15">
      <c r="E104">
        <f t="shared" si="9"/>
        <v>0.99986840641460217</v>
      </c>
      <c r="F104">
        <f t="shared" si="5"/>
        <v>1.0052053554097207</v>
      </c>
      <c r="G104">
        <f t="shared" si="6"/>
        <v>1.0024124754024641</v>
      </c>
      <c r="H104">
        <f t="shared" si="7"/>
        <v>1.0071573795981739</v>
      </c>
      <c r="I104">
        <f t="shared" si="8"/>
        <v>1.0050916701569226</v>
      </c>
    </row>
    <row r="105" spans="5:9" x14ac:dyDescent="0.15">
      <c r="E105">
        <f t="shared" si="9"/>
        <v>1.0113362138522595</v>
      </c>
      <c r="F105">
        <f t="shared" si="5"/>
        <v>1.0003770410724542</v>
      </c>
      <c r="G105">
        <f t="shared" si="6"/>
        <v>1.0012991944033895</v>
      </c>
      <c r="H105">
        <f t="shared" si="7"/>
        <v>0.9944304662504474</v>
      </c>
      <c r="I105">
        <f t="shared" si="8"/>
        <v>0.99486908675921604</v>
      </c>
    </row>
    <row r="106" spans="5:9" x14ac:dyDescent="0.15">
      <c r="E106">
        <f t="shared" si="9"/>
        <v>0.99079685343783352</v>
      </c>
      <c r="F106">
        <f t="shared" si="5"/>
        <v>0.99775979284489735</v>
      </c>
      <c r="G106">
        <f t="shared" si="6"/>
        <v>0.99843875197620324</v>
      </c>
      <c r="H106">
        <f t="shared" si="7"/>
        <v>1.0009747807662166</v>
      </c>
      <c r="I106">
        <f t="shared" si="8"/>
        <v>0.9926474543099375</v>
      </c>
    </row>
    <row r="107" spans="5:9" x14ac:dyDescent="0.15">
      <c r="E107">
        <f t="shared" si="9"/>
        <v>0.98413969505581822</v>
      </c>
      <c r="F107">
        <f t="shared" si="5"/>
        <v>1.0018498791638701</v>
      </c>
      <c r="G107">
        <f t="shared" si="6"/>
        <v>1.000330677416799</v>
      </c>
      <c r="H107">
        <f t="shared" si="7"/>
        <v>0.99752295290308335</v>
      </c>
      <c r="I107">
        <f t="shared" si="8"/>
        <v>1.0026977931136474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cheerzzh</dc:creator>
  <cp:lastModifiedBy>cheerzzh</cp:lastModifiedBy>
  <dcterms:created xsi:type="dcterms:W3CDTF">2014-04-25T13:26:09Z</dcterms:created>
  <dcterms:modified xsi:type="dcterms:W3CDTF">2014-04-25T14:38:41Z</dcterms:modified>
</cp:coreProperties>
</file>